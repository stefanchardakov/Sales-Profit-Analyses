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t_ch\Downloads\"/>
    </mc:Choice>
  </mc:AlternateContent>
  <xr:revisionPtr revIDLastSave="0" documentId="13_ncr:1_{0FCDE924-C56F-4577-B6C7-04096D31C637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Data" sheetId="1" r:id="rId1"/>
    <sheet name="Products" sheetId="6" r:id="rId2"/>
    <sheet name="SalesPerson" sheetId="7" r:id="rId3"/>
    <sheet name="District" sheetId="5" r:id="rId4"/>
    <sheet name="Pivot Table" sheetId="3" r:id="rId5"/>
  </sheets>
  <calcPr calcId="191028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G24" i="1"/>
  <c r="F25" i="1"/>
  <c r="L21" i="3"/>
  <c r="K21" i="3"/>
  <c r="L20" i="3"/>
  <c r="K20" i="3"/>
  <c r="L19" i="3"/>
  <c r="K19" i="3"/>
  <c r="L18" i="3"/>
  <c r="K18" i="3"/>
  <c r="L17" i="3"/>
  <c r="K17" i="3"/>
  <c r="L16" i="3"/>
  <c r="K16" i="3"/>
  <c r="L15" i="3"/>
  <c r="K15" i="3"/>
  <c r="L14" i="3"/>
  <c r="K14" i="3"/>
  <c r="L13" i="3"/>
  <c r="K13" i="3"/>
  <c r="L12" i="3"/>
  <c r="K12" i="3"/>
  <c r="L11" i="3"/>
  <c r="K11" i="3"/>
  <c r="L10" i="3"/>
  <c r="K10" i="3"/>
  <c r="L9" i="3"/>
  <c r="K9" i="3"/>
  <c r="L8" i="3"/>
  <c r="K8" i="3"/>
  <c r="L7" i="3"/>
  <c r="K7" i="3"/>
  <c r="L6" i="3"/>
  <c r="K6" i="3"/>
  <c r="L5" i="3"/>
  <c r="K5" i="3"/>
  <c r="L4" i="3"/>
  <c r="K4" i="3"/>
  <c r="L3" i="3"/>
  <c r="K3" i="3"/>
  <c r="L2" i="3"/>
  <c r="K2" i="3"/>
  <c r="K23" i="1" l="1"/>
</calcChain>
</file>

<file path=xl/sharedStrings.xml><?xml version="1.0" encoding="utf-8"?>
<sst xmlns="http://schemas.openxmlformats.org/spreadsheetml/2006/main" count="220" uniqueCount="50">
  <si>
    <t>Order ID</t>
  </si>
  <si>
    <t>Date</t>
  </si>
  <si>
    <t>Customer ID</t>
  </si>
  <si>
    <t>Name of Customer</t>
  </si>
  <si>
    <t>Salesperson</t>
  </si>
  <si>
    <t>District</t>
  </si>
  <si>
    <t>Product</t>
  </si>
  <si>
    <t>Cost Price</t>
  </si>
  <si>
    <t>Selling Price</t>
  </si>
  <si>
    <t>Quantity Sold</t>
  </si>
  <si>
    <t>Profit</t>
  </si>
  <si>
    <t>Predicted Profit 10%</t>
  </si>
  <si>
    <t>Virago</t>
  </si>
  <si>
    <t>Anne-Marie Jones</t>
  </si>
  <si>
    <t>Cardiff</t>
  </si>
  <si>
    <t>Folders</t>
  </si>
  <si>
    <t>Thomson Group</t>
  </si>
  <si>
    <t>Gareth Evans</t>
  </si>
  <si>
    <t>Hull</t>
  </si>
  <si>
    <t>Paper</t>
  </si>
  <si>
    <t>Askwith and Jones</t>
  </si>
  <si>
    <t>Alan Douglas</t>
  </si>
  <si>
    <t>Birmingham</t>
  </si>
  <si>
    <t>Sparrow Bank</t>
  </si>
  <si>
    <t>Mo Rehman</t>
  </si>
  <si>
    <t>Bristol</t>
  </si>
  <si>
    <t>Pearson Group</t>
  </si>
  <si>
    <t>London</t>
  </si>
  <si>
    <t>Envelopes</t>
  </si>
  <si>
    <t>Charkson and May</t>
  </si>
  <si>
    <t>Bobby Smith</t>
  </si>
  <si>
    <t>Leicester</t>
  </si>
  <si>
    <t>Smith Logistics</t>
  </si>
  <si>
    <t>Frederick Walters</t>
  </si>
  <si>
    <t>Tasko</t>
  </si>
  <si>
    <t>Fasteners</t>
  </si>
  <si>
    <t>Roger Waters</t>
  </si>
  <si>
    <t>Labels</t>
  </si>
  <si>
    <t>Alison Smith</t>
  </si>
  <si>
    <t>Leeds</t>
  </si>
  <si>
    <t>Helen Davidson</t>
  </si>
  <si>
    <t>Hadyn Jones</t>
  </si>
  <si>
    <t>Liverpool</t>
  </si>
  <si>
    <t>Total Profit</t>
  </si>
  <si>
    <t>Total Envelopes</t>
  </si>
  <si>
    <t>Total London</t>
  </si>
  <si>
    <t>Sum of Quantity Sold</t>
  </si>
  <si>
    <t>Grand Total</t>
  </si>
  <si>
    <t>SalesPerson</t>
  </si>
  <si>
    <t>SALES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</si>
</sst>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2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9" fontId="0" fillId="0" borderId="1" xfId="0" applyNumberFormat="1" applyBorder="1"/>
    <xf numFmtId="1" fontId="0" fillId="0" borderId="1" xfId="0" applyNumberFormat="1" applyBorder="1"/>
    <xf numFmtId="14" fontId="0" fillId="0" borderId="1" xfId="0" applyNumberFormat="1" applyBorder="1"/>
    <xf numFmtId="49" fontId="1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49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3">
    <dxf>
      <numFmt numFmtId="164" formatCode="&quot;£&quot;#,##0.00"/>
    </dxf>
    <dxf>
      <numFmt numFmtId="164" formatCode="&quot;£&quot;#,##0.00"/>
    </dxf>
    <dxf>
      <numFmt numFmtId="1" formatCode="0"/>
    </dxf>
    <dxf>
      <numFmt numFmtId="164" formatCode="&quot;£&quot;#,##0.00"/>
    </dxf>
    <dxf>
      <numFmt numFmtId="164" formatCode="&quot;£&quot;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9" formatCode="dd/mm/yyyy"/>
    </dxf>
    <dxf>
      <numFmt numFmtId="1" formatCode="0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[24199423 (1).xlsx]Products!PivotTable2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Products!$A$4:$A$9</c:f>
              <c:strCache>
                <c:ptCount val="5"/>
                <c:pt idx="0">
                  <c:v>Paper</c:v>
                </c:pt>
                <c:pt idx="1">
                  <c:v>Folders</c:v>
                </c:pt>
                <c:pt idx="2">
                  <c:v>Fasteners</c:v>
                </c:pt>
                <c:pt idx="3">
                  <c:v>Labels</c:v>
                </c:pt>
                <c:pt idx="4">
                  <c:v>Envelopes</c:v>
                </c:pt>
              </c:strCache>
            </c:strRef>
          </c:cat>
          <c:val>
            <c:numRef>
              <c:f>Products!$B$4:$B$9</c:f>
              <c:numCache>
                <c:formatCode>0</c:formatCode>
                <c:ptCount val="5"/>
                <c:pt idx="0">
                  <c:v>29</c:v>
                </c:pt>
                <c:pt idx="1">
                  <c:v>27</c:v>
                </c:pt>
                <c:pt idx="2">
                  <c:v>26</c:v>
                </c:pt>
                <c:pt idx="3">
                  <c:v>22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E-4039-85ED-E8281B911E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913440"/>
        <c:axId val="1862914400"/>
      </c:barChart>
      <c:catAx>
        <c:axId val="1862913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914400"/>
        <c:crosses val="autoZero"/>
        <c:auto val="1"/>
        <c:lblAlgn val="ctr"/>
        <c:lblOffset val="100"/>
        <c:noMultiLvlLbl val="0"/>
      </c:catAx>
      <c:valAx>
        <c:axId val="186291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 Sold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47874015748031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91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[24199423 (1).xlsx]SalesPerson!PivotTable3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SalesPerson!$B$3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SalesPerson!$A$4:$A$14</c:f>
              <c:strCache>
                <c:ptCount val="10"/>
                <c:pt idx="0">
                  <c:v>Gareth Evans</c:v>
                </c:pt>
                <c:pt idx="1">
                  <c:v>Alison Smith</c:v>
                </c:pt>
                <c:pt idx="2">
                  <c:v>Hadyn Jones</c:v>
                </c:pt>
                <c:pt idx="3">
                  <c:v>Anne-Marie Jones</c:v>
                </c:pt>
                <c:pt idx="4">
                  <c:v>Roger Waters</c:v>
                </c:pt>
                <c:pt idx="5">
                  <c:v>Helen Davidson</c:v>
                </c:pt>
                <c:pt idx="6">
                  <c:v>Bobby Smith</c:v>
                </c:pt>
                <c:pt idx="7">
                  <c:v>Frederick Walters</c:v>
                </c:pt>
                <c:pt idx="8">
                  <c:v>Alan Douglas</c:v>
                </c:pt>
                <c:pt idx="9">
                  <c:v>Mo Rehman</c:v>
                </c:pt>
              </c:strCache>
            </c:strRef>
          </c:cat>
          <c:val>
            <c:numRef>
              <c:f>SalesPerson!$B$4:$B$14</c:f>
              <c:numCache>
                <c:formatCode>0</c:formatCode>
                <c:ptCount val="10"/>
                <c:pt idx="0">
                  <c:v>25</c:v>
                </c:pt>
                <c:pt idx="1">
                  <c:v>21</c:v>
                </c:pt>
                <c:pt idx="2">
                  <c:v>17</c:v>
                </c:pt>
                <c:pt idx="3">
                  <c:v>14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7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62-4C78-BEBA-B2D187652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938768"/>
        <c:axId val="2068950768"/>
      </c:barChart>
      <c:catAx>
        <c:axId val="2068938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SalesPerson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50768"/>
        <c:crosses val="autoZero"/>
        <c:auto val="1"/>
        <c:lblAlgn val="ctr"/>
        <c:lblOffset val="100"/>
        <c:noMultiLvlLbl val="0"/>
      </c:catAx>
      <c:valAx>
        <c:axId val="206895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93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[24199423 (1).xlsx]District!PivotTable1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Per District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District!$B$3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District!$A$4:$A$12</c:f>
              <c:strCache>
                <c:ptCount val="8"/>
                <c:pt idx="0">
                  <c:v>Leeds</c:v>
                </c:pt>
                <c:pt idx="1">
                  <c:v>Cardiff</c:v>
                </c:pt>
                <c:pt idx="2">
                  <c:v>Birmingham</c:v>
                </c:pt>
                <c:pt idx="3">
                  <c:v>Leicester</c:v>
                </c:pt>
                <c:pt idx="4">
                  <c:v>London</c:v>
                </c:pt>
                <c:pt idx="5">
                  <c:v>Liverpool</c:v>
                </c:pt>
                <c:pt idx="6">
                  <c:v>Hull</c:v>
                </c:pt>
                <c:pt idx="7">
                  <c:v>Bristol</c:v>
                </c:pt>
              </c:strCache>
            </c:strRef>
          </c:cat>
          <c:val>
            <c:numRef>
              <c:f>District!$B$4:$B$12</c:f>
              <c:numCache>
                <c:formatCode>0</c:formatCode>
                <c:ptCount val="8"/>
                <c:pt idx="0">
                  <c:v>32</c:v>
                </c:pt>
                <c:pt idx="1">
                  <c:v>23</c:v>
                </c:pt>
                <c:pt idx="2">
                  <c:v>21</c:v>
                </c:pt>
                <c:pt idx="3">
                  <c:v>19</c:v>
                </c:pt>
                <c:pt idx="4">
                  <c:v>15</c:v>
                </c:pt>
                <c:pt idx="5">
                  <c:v>6</c:v>
                </c:pt>
                <c:pt idx="6">
                  <c:v>6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7-4578-A7A0-95CECC489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62908640"/>
        <c:axId val="1862909600"/>
      </c:barChart>
      <c:catAx>
        <c:axId val="18629086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Districts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909600"/>
        <c:crosses val="autoZero"/>
        <c:auto val="1"/>
        <c:lblAlgn val="ctr"/>
        <c:lblOffset val="100"/>
        <c:noMultiLvlLbl val="0"/>
      </c:catAx>
      <c:valAx>
        <c:axId val="186290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/>
                  <a:t>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2908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2</xdr:row>
      <xdr:rowOff>82550</xdr:rowOff>
    </xdr:from>
    <xdr:to>
      <xdr:col>13</xdr:col>
      <xdr:colOff>231775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6F184B-0068-1DFB-933C-BC44FA86C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2</xdr:row>
      <xdr:rowOff>85725</xdr:rowOff>
    </xdr:from>
    <xdr:to>
      <xdr:col>13</xdr:col>
      <xdr:colOff>228600</xdr:colOff>
      <xdr:row>17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D97BF-5845-304E-1AD1-3664D60B12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606425</xdr:colOff>
      <xdr:row>2</xdr:row>
      <xdr:rowOff>0</xdr:rowOff>
    </xdr:from>
    <xdr:to>
      <xdr:col>13</xdr:col>
      <xdr:colOff>301625</xdr:colOff>
      <xdr:row>16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3F39CA-23BB-091A-2159-20FCFEAC3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tefan chardakov" refreshedDate="45958.962332754629" createdVersion="8" refreshedVersion="8" minRefreshableVersion="3" recordCount="20" xr:uid="{8A9CBE0C-19BC-484A-9951-46B283D8A376}">
  <cacheSource type="worksheet">
    <worksheetSource name="Table1"/>
  </cacheSource>
  <cacheFields count="12">
    <cacheField name="Order ID" numFmtId="1">
      <sharedItems containsSemiMixedTypes="0" containsString="0" containsNumber="1" containsInteger="1" minValue="1" maxValue="20"/>
    </cacheField>
    <cacheField name="Date" numFmtId="14">
      <sharedItems containsSemiMixedTypes="0" containsNonDate="0" containsDate="1" containsString="0" minDate="2018-01-29T00:00:00" maxDate="2019-12-14T00:00:00"/>
    </cacheField>
    <cacheField name="Customer ID" numFmtId="1">
      <sharedItems containsSemiMixedTypes="0" containsString="0" containsNumber="1" containsInteger="1" minValue="1" maxValue="10"/>
    </cacheField>
    <cacheField name="Name of Customer" numFmtId="49">
      <sharedItems/>
    </cacheField>
    <cacheField name="Salesperson" numFmtId="49">
      <sharedItems count="10">
        <s v="Anne-Marie Jones"/>
        <s v="Gareth Evans"/>
        <s v="Alan Douglas"/>
        <s v="Mo Rehman"/>
        <s v="Bobby Smith"/>
        <s v="Frederick Walters"/>
        <s v="Roger Waters"/>
        <s v="Alison Smith"/>
        <s v="Helen Davidson"/>
        <s v="Hadyn Jones"/>
      </sharedItems>
    </cacheField>
    <cacheField name="District" numFmtId="49">
      <sharedItems count="8">
        <s v="Cardiff"/>
        <s v="Hull"/>
        <s v="Birmingham"/>
        <s v="Bristol"/>
        <s v="London"/>
        <s v="Leicester"/>
        <s v="Leeds"/>
        <s v="Liverpool"/>
      </sharedItems>
    </cacheField>
    <cacheField name="Product" numFmtId="49">
      <sharedItems count="5">
        <s v="Folders"/>
        <s v="Paper"/>
        <s v="Envelopes"/>
        <s v="Fasteners"/>
        <s v="Labels"/>
      </sharedItems>
    </cacheField>
    <cacheField name="Cost Price" numFmtId="164">
      <sharedItems containsSemiMixedTypes="0" containsString="0" containsNumber="1" containsInteger="1" minValue="20" maxValue="100"/>
    </cacheField>
    <cacheField name="Selling Price" numFmtId="164">
      <sharedItems containsSemiMixedTypes="0" containsString="0" containsNumber="1" containsInteger="1" minValue="30" maxValue="150"/>
    </cacheField>
    <cacheField name="Quantity Sold" numFmtId="1">
      <sharedItems containsSemiMixedTypes="0" containsString="0" containsNumber="1" containsInteger="1" minValue="1" maxValue="13"/>
    </cacheField>
    <cacheField name="Profit" numFmtId="164">
      <sharedItems containsSemiMixedTypes="0" containsString="0" containsNumber="1" containsInteger="1" minValue="10" maxValue="50"/>
    </cacheField>
    <cacheField name="Predicted Profit 10%" numFmtId="164">
      <sharedItems containsSemiMixedTypes="0" containsString="0" containsNumber="1" minValue="13" maxValue="6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8"/>
    <d v="2019-03-31T00:00:00"/>
    <n v="1"/>
    <s v="Virago"/>
    <x v="0"/>
    <x v="0"/>
    <x v="0"/>
    <n v="40"/>
    <n v="70"/>
    <n v="11"/>
    <n v="30"/>
    <n v="37"/>
  </r>
  <r>
    <n v="8"/>
    <d v="2019-11-16T00:00:00"/>
    <n v="7"/>
    <s v="Thomson Group"/>
    <x v="1"/>
    <x v="1"/>
    <x v="1"/>
    <n v="30"/>
    <n v="50"/>
    <n v="4"/>
    <n v="20"/>
    <n v="25.000000000000007"/>
  </r>
  <r>
    <n v="6"/>
    <d v="2018-04-11T00:00:00"/>
    <n v="2"/>
    <s v="Askwith and Jones"/>
    <x v="2"/>
    <x v="2"/>
    <x v="1"/>
    <n v="30"/>
    <n v="50"/>
    <n v="7"/>
    <n v="20"/>
    <n v="25.000000000000007"/>
  </r>
  <r>
    <n v="16"/>
    <d v="2019-09-09T00:00:00"/>
    <n v="8"/>
    <s v="Sparrow Bank"/>
    <x v="3"/>
    <x v="3"/>
    <x v="1"/>
    <n v="30"/>
    <n v="50"/>
    <n v="2"/>
    <n v="20"/>
    <n v="25.000000000000007"/>
  </r>
  <r>
    <n v="14"/>
    <d v="2018-07-02T00:00:00"/>
    <n v="6"/>
    <s v="Pearson Group"/>
    <x v="0"/>
    <x v="4"/>
    <x v="2"/>
    <n v="100"/>
    <n v="150"/>
    <n v="2"/>
    <n v="50"/>
    <n v="65"/>
  </r>
  <r>
    <n v="3"/>
    <d v="2019-05-08T00:00:00"/>
    <n v="4"/>
    <s v="Charkson and May"/>
    <x v="4"/>
    <x v="5"/>
    <x v="2"/>
    <n v="100"/>
    <n v="150"/>
    <n v="9"/>
    <n v="50"/>
    <n v="65"/>
  </r>
  <r>
    <n v="10"/>
    <d v="2019-10-11T00:00:00"/>
    <n v="10"/>
    <s v="Smith Logistics"/>
    <x v="5"/>
    <x v="5"/>
    <x v="2"/>
    <n v="100"/>
    <n v="150"/>
    <n v="9"/>
    <n v="50"/>
    <n v="65"/>
  </r>
  <r>
    <n v="4"/>
    <d v="2019-11-10T00:00:00"/>
    <n v="9"/>
    <s v="Tasko"/>
    <x v="0"/>
    <x v="5"/>
    <x v="3"/>
    <n v="20"/>
    <n v="30"/>
    <n v="1"/>
    <n v="10"/>
    <n v="13"/>
  </r>
  <r>
    <n v="9"/>
    <d v="2019-10-17T00:00:00"/>
    <n v="2"/>
    <s v="Askwith and Jones"/>
    <x v="6"/>
    <x v="1"/>
    <x v="3"/>
    <n v="20"/>
    <n v="30"/>
    <n v="2"/>
    <n v="10"/>
    <n v="13"/>
  </r>
  <r>
    <n v="5"/>
    <d v="2019-04-08T00:00:00"/>
    <n v="8"/>
    <s v="Sparrow Bank"/>
    <x v="1"/>
    <x v="4"/>
    <x v="4"/>
    <n v="60"/>
    <n v="90"/>
    <n v="3"/>
    <n v="30"/>
    <n v="39.000000000000014"/>
  </r>
  <r>
    <n v="13"/>
    <d v="2019-06-25T00:00:00"/>
    <n v="2"/>
    <s v="Askwith and Jones"/>
    <x v="1"/>
    <x v="0"/>
    <x v="3"/>
    <n v="20"/>
    <n v="30"/>
    <n v="2"/>
    <n v="10"/>
    <n v="13"/>
  </r>
  <r>
    <n v="19"/>
    <d v="2018-07-11T00:00:00"/>
    <n v="7"/>
    <s v="Thomson Group"/>
    <x v="7"/>
    <x v="6"/>
    <x v="3"/>
    <n v="20"/>
    <n v="30"/>
    <n v="13"/>
    <n v="10"/>
    <n v="13"/>
  </r>
  <r>
    <n v="20"/>
    <d v="2019-09-01T00:00:00"/>
    <n v="10"/>
    <s v="Smith Logistics"/>
    <x v="8"/>
    <x v="4"/>
    <x v="0"/>
    <n v="40"/>
    <n v="70"/>
    <n v="4"/>
    <n v="30"/>
    <n v="37"/>
  </r>
  <r>
    <n v="2"/>
    <d v="2018-08-24T00:00:00"/>
    <n v="1"/>
    <s v="Virago"/>
    <x v="9"/>
    <x v="2"/>
    <x v="0"/>
    <n v="40"/>
    <n v="70"/>
    <n v="6"/>
    <n v="30"/>
    <n v="37"/>
  </r>
  <r>
    <n v="15"/>
    <d v="2019-12-13T00:00:00"/>
    <n v="8"/>
    <s v="Sparrow Bank"/>
    <x v="9"/>
    <x v="6"/>
    <x v="4"/>
    <n v="60"/>
    <n v="90"/>
    <n v="11"/>
    <n v="30"/>
    <n v="39.000000000000014"/>
  </r>
  <r>
    <n v="11"/>
    <d v="2019-11-26T00:00:00"/>
    <n v="6"/>
    <s v="Pearson Group"/>
    <x v="8"/>
    <x v="7"/>
    <x v="0"/>
    <n v="40"/>
    <n v="70"/>
    <n v="6"/>
    <n v="30"/>
    <n v="37"/>
  </r>
  <r>
    <n v="1"/>
    <d v="2019-01-16T00:00:00"/>
    <n v="9"/>
    <s v="Tasko"/>
    <x v="6"/>
    <x v="6"/>
    <x v="4"/>
    <n v="60"/>
    <n v="90"/>
    <n v="8"/>
    <n v="30"/>
    <n v="39.000000000000014"/>
  </r>
  <r>
    <n v="17"/>
    <d v="2018-01-29T00:00:00"/>
    <n v="10"/>
    <s v="Smith Logistics"/>
    <x v="7"/>
    <x v="2"/>
    <x v="3"/>
    <n v="20"/>
    <n v="30"/>
    <n v="8"/>
    <n v="10"/>
    <n v="13"/>
  </r>
  <r>
    <n v="12"/>
    <d v="2019-11-24T00:00:00"/>
    <n v="4"/>
    <s v="Charkson and May"/>
    <x v="1"/>
    <x v="4"/>
    <x v="1"/>
    <n v="30"/>
    <n v="50"/>
    <n v="6"/>
    <n v="20"/>
    <n v="25.000000000000007"/>
  </r>
  <r>
    <n v="7"/>
    <d v="2019-08-08T00:00:00"/>
    <n v="9"/>
    <s v="Tasko"/>
    <x v="1"/>
    <x v="0"/>
    <x v="1"/>
    <n v="30"/>
    <n v="50"/>
    <n v="10"/>
    <n v="20"/>
    <n v="25.00000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CC8D9-DB60-470C-AB80-8A2D24C97414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Product">
  <location ref="A3:B9" firstHeaderRow="1" firstDataRow="1" firstDataCol="1"/>
  <pivotFields count="12">
    <pivotField numFmtId="1" showAll="0"/>
    <pivotField numFmtId="14" showAll="0"/>
    <pivotField numFmtId="1" showAll="0"/>
    <pivotField showAll="0"/>
    <pivotField showAll="0"/>
    <pivotField showAll="0"/>
    <pivotField axis="axisRow" showAll="0" sortType="descending">
      <items count="6">
        <item x="2"/>
        <item x="3"/>
        <item x="0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numFmtId="164" showAll="0"/>
    <pivotField dataField="1" numFmtId="1" showAll="0"/>
    <pivotField numFmtId="164" showAll="0"/>
    <pivotField numFmtId="164" showAll="0"/>
  </pivotFields>
  <rowFields count="1">
    <field x="6"/>
  </rowFields>
  <rowItems count="6">
    <i>
      <x v="4"/>
    </i>
    <i>
      <x v="2"/>
    </i>
    <i>
      <x v="1"/>
    </i>
    <i>
      <x v="3"/>
    </i>
    <i>
      <x/>
    </i>
    <i t="grand">
      <x/>
    </i>
  </rowItems>
  <colItems count="1">
    <i/>
  </colItems>
  <dataFields count="1">
    <dataField name="Sum of Quantity Sold" fld="9" baseField="0" baseItem="0" numFmtId="1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F75B3-70B1-40FF-A4D4-80FAEAD0616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esPerson">
  <location ref="A3:B14" firstHeaderRow="1" firstDataRow="1" firstDataCol="1"/>
  <pivotFields count="12">
    <pivotField numFmtId="1" showAll="0"/>
    <pivotField numFmtId="14" showAll="0"/>
    <pivotField numFmtId="1" showAll="0"/>
    <pivotField showAll="0"/>
    <pivotField axis="axisRow" showAll="0" sortType="descending">
      <items count="11">
        <item x="2"/>
        <item x="7"/>
        <item x="0"/>
        <item x="4"/>
        <item x="5"/>
        <item x="1"/>
        <item x="9"/>
        <item x="8"/>
        <item x="3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4" showAll="0"/>
    <pivotField numFmtId="164" showAll="0"/>
    <pivotField dataField="1" numFmtId="1" showAll="0"/>
    <pivotField numFmtId="164" showAll="0"/>
    <pivotField numFmtId="164" showAll="0"/>
  </pivotFields>
  <rowFields count="1">
    <field x="4"/>
  </rowFields>
  <rowItems count="11">
    <i>
      <x v="5"/>
    </i>
    <i>
      <x v="1"/>
    </i>
    <i>
      <x v="6"/>
    </i>
    <i>
      <x v="2"/>
    </i>
    <i>
      <x v="9"/>
    </i>
    <i>
      <x v="7"/>
    </i>
    <i>
      <x v="3"/>
    </i>
    <i>
      <x v="4"/>
    </i>
    <i>
      <x/>
    </i>
    <i>
      <x v="8"/>
    </i>
    <i t="grand">
      <x/>
    </i>
  </rowItems>
  <colItems count="1">
    <i/>
  </colItems>
  <dataFields count="1">
    <dataField name="Sum of Quantity Sold" fld="9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F3286-4BC2-448A-B86B-971C27F926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istrict">
  <location ref="A3:B12" firstHeaderRow="1" firstDataRow="1" firstDataCol="1"/>
  <pivotFields count="12">
    <pivotField numFmtId="1" showAll="0"/>
    <pivotField numFmtId="14" showAll="0"/>
    <pivotField numFmtId="1" showAll="0"/>
    <pivotField showAll="0"/>
    <pivotField showAll="0"/>
    <pivotField axis="axisRow" showAll="0" sortType="descending">
      <items count="9">
        <item x="2"/>
        <item x="3"/>
        <item x="0"/>
        <item x="1"/>
        <item x="6"/>
        <item x="5"/>
        <item x="7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numFmtId="164" showAll="0"/>
    <pivotField dataField="1" numFmtId="1" showAll="0"/>
    <pivotField numFmtId="164" showAll="0"/>
    <pivotField numFmtId="164" showAll="0"/>
  </pivotFields>
  <rowFields count="1">
    <field x="5"/>
  </rowFields>
  <rowItems count="9">
    <i>
      <x v="4"/>
    </i>
    <i>
      <x v="2"/>
    </i>
    <i>
      <x/>
    </i>
    <i>
      <x v="5"/>
    </i>
    <i>
      <x v="7"/>
    </i>
    <i>
      <x v="6"/>
    </i>
    <i>
      <x v="3"/>
    </i>
    <i>
      <x v="1"/>
    </i>
    <i t="grand">
      <x/>
    </i>
  </rowItems>
  <colItems count="1">
    <i/>
  </colItems>
  <dataFields count="1">
    <dataField name="Sum of Quantity Sold" fld="9" baseField="0" baseItem="0" numFmtId="1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1A797C-7712-4293-829A-84E6BC2E9DB8}" name="Table1" displayName="Table1" ref="A1:L21" totalsRowShown="0" headerRowDxfId="12">
  <autoFilter ref="A1:L21" xr:uid="{8D1A797C-7712-4293-829A-84E6BC2E9DB8}"/>
  <tableColumns count="12">
    <tableColumn id="1" xr3:uid="{73B90551-19FA-4981-AFE9-A540E8D77EE1}" name="Order ID" dataDxfId="11"/>
    <tableColumn id="2" xr3:uid="{1A6629D9-C774-4886-8CF1-964AAFA50CE0}" name="Date" dataDxfId="10"/>
    <tableColumn id="3" xr3:uid="{9BFF7DAB-D573-4DDB-B495-A1432F6A8D0A}" name="Customer ID" dataDxfId="9"/>
    <tableColumn id="4" xr3:uid="{F4AF86E2-E39B-4766-942E-77B54E0C08E6}" name="Name of Customer" dataDxfId="8"/>
    <tableColumn id="5" xr3:uid="{ECF83261-01D6-4B2B-9EBB-CC4D80E83C1A}" name="Salesperson" dataDxfId="7"/>
    <tableColumn id="6" xr3:uid="{6FC537B2-4C07-4803-95FE-B9A6F175A900}" name="District" dataDxfId="6"/>
    <tableColumn id="7" xr3:uid="{9785FABE-9C5D-4270-9209-93871E0FFD8C}" name="Product" dataDxfId="5"/>
    <tableColumn id="8" xr3:uid="{B78D7993-C8EC-4CB9-ABDB-E9F08FDB21DC}" name="Cost Price" dataDxfId="4"/>
    <tableColumn id="9" xr3:uid="{432A37B2-CFD5-4F93-B273-3461BC50DFB1}" name="Selling Price" dataDxfId="3"/>
    <tableColumn id="10" xr3:uid="{AF1DDD4F-0799-4543-9475-4C82695D6B9D}" name="Quantity Sold" dataDxfId="2"/>
    <tableColumn id="11" xr3:uid="{9668B264-03BA-4FB7-A689-C924282B4642}" name="Profit" dataDxfId="1">
      <calculatedColumnFormula>I2-H2</calculatedColumnFormula>
    </tableColumn>
    <tableColumn id="12" xr3:uid="{9520C7F4-F295-4D8D-B21C-78CA0718FCE6}" name="Predicted Profit 10%" dataDxfId="0">
      <calculatedColumnFormula>(I2*1.1)-H2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workbookViewId="0">
      <selection activeCell="E1" sqref="E1"/>
    </sheetView>
  </sheetViews>
  <sheetFormatPr defaultRowHeight="14.5" x14ac:dyDescent="0.35"/>
  <cols>
    <col min="1" max="1" width="14" customWidth="1"/>
    <col min="2" max="2" width="12.54296875" customWidth="1"/>
    <col min="3" max="3" width="14.1796875" customWidth="1"/>
    <col min="4" max="4" width="18.453125" customWidth="1"/>
    <col min="5" max="5" width="17.1796875" customWidth="1"/>
    <col min="6" max="6" width="11.1796875" customWidth="1"/>
    <col min="7" max="7" width="9.26953125" customWidth="1"/>
    <col min="9" max="9" width="10.7265625" customWidth="1"/>
    <col min="10" max="10" width="12.1796875" customWidth="1"/>
    <col min="12" max="12" width="18" customWidth="1"/>
  </cols>
  <sheetData>
    <row r="1" spans="1:12" ht="28.5" x14ac:dyDescent="0.35">
      <c r="E1" s="13" t="s">
        <v>49</v>
      </c>
    </row>
    <row r="2" spans="1:12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7" t="s">
        <v>11</v>
      </c>
    </row>
    <row r="3" spans="1:12" x14ac:dyDescent="0.35">
      <c r="A3" s="8">
        <v>18</v>
      </c>
      <c r="B3" s="9">
        <v>43555</v>
      </c>
      <c r="C3" s="8">
        <v>1</v>
      </c>
      <c r="D3" s="7" t="s">
        <v>12</v>
      </c>
      <c r="E3" s="7" t="s">
        <v>13</v>
      </c>
      <c r="F3" s="7" t="s">
        <v>14</v>
      </c>
      <c r="G3" s="7" t="s">
        <v>15</v>
      </c>
      <c r="H3" s="12">
        <v>40</v>
      </c>
      <c r="I3" s="12">
        <v>70</v>
      </c>
      <c r="J3" s="8">
        <v>11</v>
      </c>
      <c r="K3" s="12">
        <f>I3-H3</f>
        <v>30</v>
      </c>
      <c r="L3" s="12">
        <f>(I3*1.1)-H3</f>
        <v>37</v>
      </c>
    </row>
    <row r="4" spans="1:12" x14ac:dyDescent="0.35">
      <c r="A4" s="8">
        <v>8</v>
      </c>
      <c r="B4" s="9">
        <v>43785</v>
      </c>
      <c r="C4" s="8">
        <v>7</v>
      </c>
      <c r="D4" s="7" t="s">
        <v>16</v>
      </c>
      <c r="E4" s="7" t="s">
        <v>17</v>
      </c>
      <c r="F4" s="7" t="s">
        <v>18</v>
      </c>
      <c r="G4" s="7" t="s">
        <v>19</v>
      </c>
      <c r="H4" s="12">
        <v>30</v>
      </c>
      <c r="I4" s="12">
        <v>50</v>
      </c>
      <c r="J4" s="8">
        <v>4</v>
      </c>
      <c r="K4" s="12">
        <f t="shared" ref="K4:K21" si="0">I4-H4</f>
        <v>20</v>
      </c>
      <c r="L4" s="12">
        <f t="shared" ref="L4:L22" si="1">(I4*1.1)-H4</f>
        <v>25.000000000000007</v>
      </c>
    </row>
    <row r="5" spans="1:12" x14ac:dyDescent="0.35">
      <c r="A5" s="8">
        <v>6</v>
      </c>
      <c r="B5" s="9">
        <v>43201</v>
      </c>
      <c r="C5" s="8">
        <v>2</v>
      </c>
      <c r="D5" s="7" t="s">
        <v>20</v>
      </c>
      <c r="E5" s="7" t="s">
        <v>21</v>
      </c>
      <c r="F5" s="7" t="s">
        <v>22</v>
      </c>
      <c r="G5" s="7" t="s">
        <v>19</v>
      </c>
      <c r="H5" s="12">
        <v>30</v>
      </c>
      <c r="I5" s="12">
        <v>50</v>
      </c>
      <c r="J5" s="8">
        <v>7</v>
      </c>
      <c r="K5" s="12">
        <f t="shared" si="0"/>
        <v>20</v>
      </c>
      <c r="L5" s="12">
        <f t="shared" si="1"/>
        <v>25.000000000000007</v>
      </c>
    </row>
    <row r="6" spans="1:12" x14ac:dyDescent="0.35">
      <c r="A6" s="8">
        <v>16</v>
      </c>
      <c r="B6" s="9">
        <v>43717</v>
      </c>
      <c r="C6" s="8">
        <v>8</v>
      </c>
      <c r="D6" s="7" t="s">
        <v>23</v>
      </c>
      <c r="E6" s="7" t="s">
        <v>24</v>
      </c>
      <c r="F6" s="7" t="s">
        <v>25</v>
      </c>
      <c r="G6" s="7" t="s">
        <v>19</v>
      </c>
      <c r="H6" s="12">
        <v>30</v>
      </c>
      <c r="I6" s="12">
        <v>50</v>
      </c>
      <c r="J6" s="8">
        <v>2</v>
      </c>
      <c r="K6" s="12">
        <f t="shared" si="0"/>
        <v>20</v>
      </c>
      <c r="L6" s="12">
        <f t="shared" si="1"/>
        <v>25.000000000000007</v>
      </c>
    </row>
    <row r="7" spans="1:12" x14ac:dyDescent="0.35">
      <c r="A7" s="8">
        <v>14</v>
      </c>
      <c r="B7" s="9">
        <v>43283</v>
      </c>
      <c r="C7" s="8">
        <v>6</v>
      </c>
      <c r="D7" s="7" t="s">
        <v>26</v>
      </c>
      <c r="E7" s="7" t="s">
        <v>13</v>
      </c>
      <c r="F7" s="7" t="s">
        <v>27</v>
      </c>
      <c r="G7" s="7" t="s">
        <v>28</v>
      </c>
      <c r="H7" s="12">
        <v>100</v>
      </c>
      <c r="I7" s="12">
        <v>150</v>
      </c>
      <c r="J7" s="8">
        <v>2</v>
      </c>
      <c r="K7" s="12">
        <f t="shared" si="0"/>
        <v>50</v>
      </c>
      <c r="L7" s="12">
        <f t="shared" si="1"/>
        <v>65</v>
      </c>
    </row>
    <row r="8" spans="1:12" x14ac:dyDescent="0.35">
      <c r="A8" s="8">
        <v>3</v>
      </c>
      <c r="B8" s="9">
        <v>43593</v>
      </c>
      <c r="C8" s="8">
        <v>4</v>
      </c>
      <c r="D8" s="7" t="s">
        <v>29</v>
      </c>
      <c r="E8" s="7" t="s">
        <v>30</v>
      </c>
      <c r="F8" s="7" t="s">
        <v>31</v>
      </c>
      <c r="G8" s="7" t="s">
        <v>28</v>
      </c>
      <c r="H8" s="12">
        <v>100</v>
      </c>
      <c r="I8" s="12">
        <v>150</v>
      </c>
      <c r="J8" s="8">
        <v>9</v>
      </c>
      <c r="K8" s="12">
        <f t="shared" si="0"/>
        <v>50</v>
      </c>
      <c r="L8" s="12">
        <f t="shared" si="1"/>
        <v>65</v>
      </c>
    </row>
    <row r="9" spans="1:12" x14ac:dyDescent="0.35">
      <c r="A9" s="8">
        <v>10</v>
      </c>
      <c r="B9" s="9">
        <v>43749</v>
      </c>
      <c r="C9" s="8">
        <v>10</v>
      </c>
      <c r="D9" s="7" t="s">
        <v>32</v>
      </c>
      <c r="E9" s="7" t="s">
        <v>33</v>
      </c>
      <c r="F9" s="7" t="s">
        <v>31</v>
      </c>
      <c r="G9" s="7" t="s">
        <v>28</v>
      </c>
      <c r="H9" s="12">
        <v>100</v>
      </c>
      <c r="I9" s="12">
        <v>150</v>
      </c>
      <c r="J9" s="8">
        <v>9</v>
      </c>
      <c r="K9" s="12">
        <f t="shared" si="0"/>
        <v>50</v>
      </c>
      <c r="L9" s="12">
        <f t="shared" si="1"/>
        <v>65</v>
      </c>
    </row>
    <row r="10" spans="1:12" x14ac:dyDescent="0.35">
      <c r="A10" s="8">
        <v>4</v>
      </c>
      <c r="B10" s="9">
        <v>43779</v>
      </c>
      <c r="C10" s="8">
        <v>9</v>
      </c>
      <c r="D10" s="7" t="s">
        <v>34</v>
      </c>
      <c r="E10" s="7" t="s">
        <v>13</v>
      </c>
      <c r="F10" s="7" t="s">
        <v>31</v>
      </c>
      <c r="G10" s="7" t="s">
        <v>35</v>
      </c>
      <c r="H10" s="12">
        <v>20</v>
      </c>
      <c r="I10" s="12">
        <v>30</v>
      </c>
      <c r="J10" s="8">
        <v>1</v>
      </c>
      <c r="K10" s="12">
        <f t="shared" si="0"/>
        <v>10</v>
      </c>
      <c r="L10" s="12">
        <f t="shared" si="1"/>
        <v>13</v>
      </c>
    </row>
    <row r="11" spans="1:12" x14ac:dyDescent="0.35">
      <c r="A11" s="8">
        <v>9</v>
      </c>
      <c r="B11" s="9">
        <v>43755</v>
      </c>
      <c r="C11" s="8">
        <v>2</v>
      </c>
      <c r="D11" s="7" t="s">
        <v>20</v>
      </c>
      <c r="E11" s="7" t="s">
        <v>36</v>
      </c>
      <c r="F11" s="7" t="s">
        <v>18</v>
      </c>
      <c r="G11" s="7" t="s">
        <v>35</v>
      </c>
      <c r="H11" s="12">
        <v>20</v>
      </c>
      <c r="I11" s="12">
        <v>30</v>
      </c>
      <c r="J11" s="8">
        <v>2</v>
      </c>
      <c r="K11" s="12">
        <f t="shared" si="0"/>
        <v>10</v>
      </c>
      <c r="L11" s="12">
        <f t="shared" si="1"/>
        <v>13</v>
      </c>
    </row>
    <row r="12" spans="1:12" x14ac:dyDescent="0.35">
      <c r="A12" s="8">
        <v>5</v>
      </c>
      <c r="B12" s="9">
        <v>43563</v>
      </c>
      <c r="C12" s="8">
        <v>8</v>
      </c>
      <c r="D12" s="7" t="s">
        <v>23</v>
      </c>
      <c r="E12" s="7" t="s">
        <v>17</v>
      </c>
      <c r="F12" s="7" t="s">
        <v>27</v>
      </c>
      <c r="G12" s="7" t="s">
        <v>37</v>
      </c>
      <c r="H12" s="12">
        <v>60</v>
      </c>
      <c r="I12" s="12">
        <v>90</v>
      </c>
      <c r="J12" s="8">
        <v>3</v>
      </c>
      <c r="K12" s="12">
        <f t="shared" si="0"/>
        <v>30</v>
      </c>
      <c r="L12" s="12">
        <f t="shared" si="1"/>
        <v>39.000000000000014</v>
      </c>
    </row>
    <row r="13" spans="1:12" x14ac:dyDescent="0.35">
      <c r="A13" s="8">
        <v>13</v>
      </c>
      <c r="B13" s="9">
        <v>43641</v>
      </c>
      <c r="C13" s="8">
        <v>2</v>
      </c>
      <c r="D13" s="7" t="s">
        <v>20</v>
      </c>
      <c r="E13" s="7" t="s">
        <v>17</v>
      </c>
      <c r="F13" s="7" t="s">
        <v>14</v>
      </c>
      <c r="G13" s="7" t="s">
        <v>35</v>
      </c>
      <c r="H13" s="12">
        <v>20</v>
      </c>
      <c r="I13" s="12">
        <v>30</v>
      </c>
      <c r="J13" s="8">
        <v>2</v>
      </c>
      <c r="K13" s="12">
        <f t="shared" si="0"/>
        <v>10</v>
      </c>
      <c r="L13" s="12">
        <f t="shared" si="1"/>
        <v>13</v>
      </c>
    </row>
    <row r="14" spans="1:12" x14ac:dyDescent="0.35">
      <c r="A14" s="8">
        <v>19</v>
      </c>
      <c r="B14" s="9">
        <v>43292</v>
      </c>
      <c r="C14" s="8">
        <v>7</v>
      </c>
      <c r="D14" s="7" t="s">
        <v>16</v>
      </c>
      <c r="E14" s="7" t="s">
        <v>38</v>
      </c>
      <c r="F14" s="7" t="s">
        <v>39</v>
      </c>
      <c r="G14" s="7" t="s">
        <v>35</v>
      </c>
      <c r="H14" s="12">
        <v>20</v>
      </c>
      <c r="I14" s="12">
        <v>30</v>
      </c>
      <c r="J14" s="8">
        <v>13</v>
      </c>
      <c r="K14" s="12">
        <f t="shared" si="0"/>
        <v>10</v>
      </c>
      <c r="L14" s="12">
        <f t="shared" si="1"/>
        <v>13</v>
      </c>
    </row>
    <row r="15" spans="1:12" x14ac:dyDescent="0.35">
      <c r="A15" s="8">
        <v>20</v>
      </c>
      <c r="B15" s="9">
        <v>43709</v>
      </c>
      <c r="C15" s="8">
        <v>10</v>
      </c>
      <c r="D15" s="7" t="s">
        <v>32</v>
      </c>
      <c r="E15" s="7" t="s">
        <v>40</v>
      </c>
      <c r="F15" s="7" t="s">
        <v>27</v>
      </c>
      <c r="G15" s="7" t="s">
        <v>15</v>
      </c>
      <c r="H15" s="12">
        <v>40</v>
      </c>
      <c r="I15" s="12">
        <v>70</v>
      </c>
      <c r="J15" s="8">
        <v>4</v>
      </c>
      <c r="K15" s="12">
        <f t="shared" si="0"/>
        <v>30</v>
      </c>
      <c r="L15" s="12">
        <f t="shared" si="1"/>
        <v>37</v>
      </c>
    </row>
    <row r="16" spans="1:12" x14ac:dyDescent="0.35">
      <c r="A16" s="8">
        <v>2</v>
      </c>
      <c r="B16" s="9">
        <v>43336</v>
      </c>
      <c r="C16" s="8">
        <v>1</v>
      </c>
      <c r="D16" s="7" t="s">
        <v>12</v>
      </c>
      <c r="E16" s="7" t="s">
        <v>41</v>
      </c>
      <c r="F16" s="7" t="s">
        <v>22</v>
      </c>
      <c r="G16" s="7" t="s">
        <v>15</v>
      </c>
      <c r="H16" s="12">
        <v>40</v>
      </c>
      <c r="I16" s="12">
        <v>70</v>
      </c>
      <c r="J16" s="8">
        <v>6</v>
      </c>
      <c r="K16" s="12">
        <f t="shared" si="0"/>
        <v>30</v>
      </c>
      <c r="L16" s="12">
        <f t="shared" si="1"/>
        <v>37</v>
      </c>
    </row>
    <row r="17" spans="1:12" x14ac:dyDescent="0.35">
      <c r="A17" s="8">
        <v>15</v>
      </c>
      <c r="B17" s="9">
        <v>43812</v>
      </c>
      <c r="C17" s="8">
        <v>8</v>
      </c>
      <c r="D17" s="7" t="s">
        <v>23</v>
      </c>
      <c r="E17" s="7" t="s">
        <v>41</v>
      </c>
      <c r="F17" s="7" t="s">
        <v>39</v>
      </c>
      <c r="G17" s="7" t="s">
        <v>37</v>
      </c>
      <c r="H17" s="12">
        <v>60</v>
      </c>
      <c r="I17" s="12">
        <v>90</v>
      </c>
      <c r="J17" s="8">
        <v>11</v>
      </c>
      <c r="K17" s="12">
        <f t="shared" si="0"/>
        <v>30</v>
      </c>
      <c r="L17" s="12">
        <f t="shared" si="1"/>
        <v>39.000000000000014</v>
      </c>
    </row>
    <row r="18" spans="1:12" x14ac:dyDescent="0.35">
      <c r="A18" s="8">
        <v>11</v>
      </c>
      <c r="B18" s="9">
        <v>43795</v>
      </c>
      <c r="C18" s="8">
        <v>6</v>
      </c>
      <c r="D18" s="7" t="s">
        <v>26</v>
      </c>
      <c r="E18" s="7" t="s">
        <v>40</v>
      </c>
      <c r="F18" s="7" t="s">
        <v>42</v>
      </c>
      <c r="G18" s="7" t="s">
        <v>15</v>
      </c>
      <c r="H18" s="12">
        <v>40</v>
      </c>
      <c r="I18" s="12">
        <v>70</v>
      </c>
      <c r="J18" s="8">
        <v>6</v>
      </c>
      <c r="K18" s="12">
        <f t="shared" si="0"/>
        <v>30</v>
      </c>
      <c r="L18" s="12">
        <f t="shared" si="1"/>
        <v>37</v>
      </c>
    </row>
    <row r="19" spans="1:12" x14ac:dyDescent="0.35">
      <c r="A19" s="8">
        <v>1</v>
      </c>
      <c r="B19" s="9">
        <v>43481</v>
      </c>
      <c r="C19" s="8">
        <v>9</v>
      </c>
      <c r="D19" s="7" t="s">
        <v>34</v>
      </c>
      <c r="E19" s="7" t="s">
        <v>36</v>
      </c>
      <c r="F19" s="7" t="s">
        <v>39</v>
      </c>
      <c r="G19" s="7" t="s">
        <v>37</v>
      </c>
      <c r="H19" s="12">
        <v>60</v>
      </c>
      <c r="I19" s="12">
        <v>90</v>
      </c>
      <c r="J19" s="8">
        <v>8</v>
      </c>
      <c r="K19" s="12">
        <f t="shared" si="0"/>
        <v>30</v>
      </c>
      <c r="L19" s="12">
        <f t="shared" si="1"/>
        <v>39.000000000000014</v>
      </c>
    </row>
    <row r="20" spans="1:12" x14ac:dyDescent="0.35">
      <c r="A20" s="8">
        <v>17</v>
      </c>
      <c r="B20" s="9">
        <v>43129</v>
      </c>
      <c r="C20" s="8">
        <v>10</v>
      </c>
      <c r="D20" s="7" t="s">
        <v>32</v>
      </c>
      <c r="E20" s="7" t="s">
        <v>38</v>
      </c>
      <c r="F20" s="7" t="s">
        <v>22</v>
      </c>
      <c r="G20" s="7" t="s">
        <v>35</v>
      </c>
      <c r="H20" s="12">
        <v>20</v>
      </c>
      <c r="I20" s="12">
        <v>30</v>
      </c>
      <c r="J20" s="8">
        <v>8</v>
      </c>
      <c r="K20" s="12">
        <f t="shared" si="0"/>
        <v>10</v>
      </c>
      <c r="L20" s="12">
        <f t="shared" si="1"/>
        <v>13</v>
      </c>
    </row>
    <row r="21" spans="1:12" x14ac:dyDescent="0.35">
      <c r="A21" s="8">
        <v>12</v>
      </c>
      <c r="B21" s="9">
        <v>43793</v>
      </c>
      <c r="C21" s="8">
        <v>4</v>
      </c>
      <c r="D21" s="7" t="s">
        <v>29</v>
      </c>
      <c r="E21" s="7" t="s">
        <v>17</v>
      </c>
      <c r="F21" s="7" t="s">
        <v>27</v>
      </c>
      <c r="G21" s="7" t="s">
        <v>19</v>
      </c>
      <c r="H21" s="12">
        <v>30</v>
      </c>
      <c r="I21" s="12">
        <v>50</v>
      </c>
      <c r="J21" s="8">
        <v>6</v>
      </c>
      <c r="K21" s="12">
        <f t="shared" si="0"/>
        <v>20</v>
      </c>
      <c r="L21" s="12">
        <f t="shared" si="1"/>
        <v>25.000000000000007</v>
      </c>
    </row>
    <row r="22" spans="1:12" x14ac:dyDescent="0.35">
      <c r="A22" s="8">
        <v>7</v>
      </c>
      <c r="B22" s="9">
        <v>43685</v>
      </c>
      <c r="C22" s="8">
        <v>9</v>
      </c>
      <c r="D22" s="7" t="s">
        <v>34</v>
      </c>
      <c r="E22" s="7" t="s">
        <v>17</v>
      </c>
      <c r="F22" s="7" t="s">
        <v>14</v>
      </c>
      <c r="G22" s="7" t="s">
        <v>19</v>
      </c>
      <c r="H22" s="12">
        <v>30</v>
      </c>
      <c r="I22" s="12">
        <v>50</v>
      </c>
      <c r="J22" s="8">
        <v>10</v>
      </c>
      <c r="K22" s="12">
        <f>I22-H22</f>
        <v>20</v>
      </c>
      <c r="L22" s="12">
        <f t="shared" si="1"/>
        <v>25.000000000000007</v>
      </c>
    </row>
    <row r="23" spans="1:12" x14ac:dyDescent="0.35">
      <c r="A23" s="10" t="s">
        <v>43</v>
      </c>
      <c r="B23" s="11"/>
      <c r="C23" s="11"/>
      <c r="D23" s="11"/>
      <c r="E23" s="11"/>
      <c r="F23" s="11"/>
      <c r="G23" s="11"/>
      <c r="H23" s="11"/>
      <c r="I23" s="11"/>
      <c r="J23" s="11"/>
      <c r="K23" s="12">
        <f>SUM(K3:K22)</f>
        <v>510</v>
      </c>
      <c r="L23" s="12"/>
    </row>
    <row r="24" spans="1:12" x14ac:dyDescent="0.35">
      <c r="A24" s="10" t="s">
        <v>44</v>
      </c>
      <c r="B24" s="11"/>
      <c r="C24" s="11"/>
      <c r="D24" s="11"/>
      <c r="E24" s="11"/>
      <c r="F24" s="11"/>
      <c r="G24" s="8">
        <f>COUNTIF(G3:G22,"Envelopes")</f>
        <v>3</v>
      </c>
      <c r="H24" s="11"/>
      <c r="I24" s="11"/>
      <c r="J24" s="11"/>
      <c r="K24" s="11"/>
      <c r="L24" s="11"/>
    </row>
    <row r="25" spans="1:12" x14ac:dyDescent="0.35">
      <c r="A25" s="10" t="s">
        <v>45</v>
      </c>
      <c r="B25" s="11"/>
      <c r="C25" s="11"/>
      <c r="D25" s="11"/>
      <c r="E25" s="11"/>
      <c r="F25" s="8">
        <f>COUNTIF(F3:F22,"London")</f>
        <v>4</v>
      </c>
      <c r="G25" s="11"/>
      <c r="H25" s="11"/>
      <c r="I25" s="11"/>
      <c r="J25" s="11"/>
      <c r="K25" s="11"/>
      <c r="L25" s="1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E624-F025-4460-BF30-5D6355075A4C}">
  <dimension ref="A3:B9"/>
  <sheetViews>
    <sheetView topLeftCell="A2" workbookViewId="0">
      <selection activeCell="Q20" sqref="Q20"/>
    </sheetView>
  </sheetViews>
  <sheetFormatPr defaultRowHeight="14.5" x14ac:dyDescent="0.35"/>
  <cols>
    <col min="1" max="1" width="10.7265625" bestFit="1" customWidth="1"/>
    <col min="2" max="2" width="18.6328125" bestFit="1" customWidth="1"/>
  </cols>
  <sheetData>
    <row r="3" spans="1:2" x14ac:dyDescent="0.35">
      <c r="A3" s="5" t="s">
        <v>6</v>
      </c>
      <c r="B3" t="s">
        <v>46</v>
      </c>
    </row>
    <row r="4" spans="1:2" x14ac:dyDescent="0.35">
      <c r="A4" s="6" t="s">
        <v>19</v>
      </c>
      <c r="B4" s="3">
        <v>29</v>
      </c>
    </row>
    <row r="5" spans="1:2" x14ac:dyDescent="0.35">
      <c r="A5" s="6" t="s">
        <v>15</v>
      </c>
      <c r="B5" s="3">
        <v>27</v>
      </c>
    </row>
    <row r="6" spans="1:2" x14ac:dyDescent="0.35">
      <c r="A6" s="6" t="s">
        <v>35</v>
      </c>
      <c r="B6" s="3">
        <v>26</v>
      </c>
    </row>
    <row r="7" spans="1:2" x14ac:dyDescent="0.35">
      <c r="A7" s="6" t="s">
        <v>37</v>
      </c>
      <c r="B7" s="3">
        <v>22</v>
      </c>
    </row>
    <row r="8" spans="1:2" x14ac:dyDescent="0.35">
      <c r="A8" s="6" t="s">
        <v>28</v>
      </c>
      <c r="B8" s="3">
        <v>20</v>
      </c>
    </row>
    <row r="9" spans="1:2" x14ac:dyDescent="0.35">
      <c r="A9" s="6" t="s">
        <v>47</v>
      </c>
      <c r="B9" s="3">
        <v>124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3E71B-F2E5-4A5B-A3B7-D368CD2630D2}">
  <dimension ref="A3:B14"/>
  <sheetViews>
    <sheetView workbookViewId="0">
      <selection activeCell="D14" sqref="D14"/>
    </sheetView>
  </sheetViews>
  <sheetFormatPr defaultRowHeight="14.5" x14ac:dyDescent="0.35"/>
  <cols>
    <col min="1" max="1" width="15.90625" bestFit="1" customWidth="1"/>
    <col min="2" max="2" width="18.6328125" bestFit="1" customWidth="1"/>
  </cols>
  <sheetData>
    <row r="3" spans="1:2" x14ac:dyDescent="0.35">
      <c r="A3" s="5" t="s">
        <v>48</v>
      </c>
      <c r="B3" t="s">
        <v>46</v>
      </c>
    </row>
    <row r="4" spans="1:2" x14ac:dyDescent="0.35">
      <c r="A4" s="6" t="s">
        <v>17</v>
      </c>
      <c r="B4" s="3">
        <v>25</v>
      </c>
    </row>
    <row r="5" spans="1:2" x14ac:dyDescent="0.35">
      <c r="A5" s="6" t="s">
        <v>38</v>
      </c>
      <c r="B5" s="3">
        <v>21</v>
      </c>
    </row>
    <row r="6" spans="1:2" x14ac:dyDescent="0.35">
      <c r="A6" s="6" t="s">
        <v>41</v>
      </c>
      <c r="B6" s="3">
        <v>17</v>
      </c>
    </row>
    <row r="7" spans="1:2" x14ac:dyDescent="0.35">
      <c r="A7" s="6" t="s">
        <v>13</v>
      </c>
      <c r="B7" s="3">
        <v>14</v>
      </c>
    </row>
    <row r="8" spans="1:2" x14ac:dyDescent="0.35">
      <c r="A8" s="6" t="s">
        <v>36</v>
      </c>
      <c r="B8" s="3">
        <v>10</v>
      </c>
    </row>
    <row r="9" spans="1:2" x14ac:dyDescent="0.35">
      <c r="A9" s="6" t="s">
        <v>40</v>
      </c>
      <c r="B9" s="3">
        <v>10</v>
      </c>
    </row>
    <row r="10" spans="1:2" x14ac:dyDescent="0.35">
      <c r="A10" s="6" t="s">
        <v>30</v>
      </c>
      <c r="B10" s="3">
        <v>9</v>
      </c>
    </row>
    <row r="11" spans="1:2" x14ac:dyDescent="0.35">
      <c r="A11" s="6" t="s">
        <v>33</v>
      </c>
      <c r="B11" s="3">
        <v>9</v>
      </c>
    </row>
    <row r="12" spans="1:2" x14ac:dyDescent="0.35">
      <c r="A12" s="6" t="s">
        <v>21</v>
      </c>
      <c r="B12" s="3">
        <v>7</v>
      </c>
    </row>
    <row r="13" spans="1:2" x14ac:dyDescent="0.35">
      <c r="A13" s="6" t="s">
        <v>24</v>
      </c>
      <c r="B13" s="3">
        <v>2</v>
      </c>
    </row>
    <row r="14" spans="1:2" x14ac:dyDescent="0.35">
      <c r="A14" s="6" t="s">
        <v>47</v>
      </c>
      <c r="B14" s="3">
        <v>124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E84C-F47A-40FC-AEBB-FC91F27C6BD9}">
  <dimension ref="A3:B12"/>
  <sheetViews>
    <sheetView workbookViewId="0">
      <selection activeCell="B3" sqref="B3"/>
    </sheetView>
  </sheetViews>
  <sheetFormatPr defaultRowHeight="14.5" x14ac:dyDescent="0.35"/>
  <cols>
    <col min="1" max="1" width="10.90625" bestFit="1" customWidth="1"/>
    <col min="2" max="2" width="18.6328125" bestFit="1" customWidth="1"/>
  </cols>
  <sheetData>
    <row r="3" spans="1:2" x14ac:dyDescent="0.35">
      <c r="A3" s="5" t="s">
        <v>5</v>
      </c>
      <c r="B3" t="s">
        <v>46</v>
      </c>
    </row>
    <row r="4" spans="1:2" x14ac:dyDescent="0.35">
      <c r="A4" s="6" t="s">
        <v>39</v>
      </c>
      <c r="B4" s="3">
        <v>32</v>
      </c>
    </row>
    <row r="5" spans="1:2" x14ac:dyDescent="0.35">
      <c r="A5" s="6" t="s">
        <v>14</v>
      </c>
      <c r="B5" s="3">
        <v>23</v>
      </c>
    </row>
    <row r="6" spans="1:2" x14ac:dyDescent="0.35">
      <c r="A6" s="6" t="s">
        <v>22</v>
      </c>
      <c r="B6" s="3">
        <v>21</v>
      </c>
    </row>
    <row r="7" spans="1:2" x14ac:dyDescent="0.35">
      <c r="A7" s="6" t="s">
        <v>31</v>
      </c>
      <c r="B7" s="3">
        <v>19</v>
      </c>
    </row>
    <row r="8" spans="1:2" x14ac:dyDescent="0.35">
      <c r="A8" s="6" t="s">
        <v>27</v>
      </c>
      <c r="B8" s="3">
        <v>15</v>
      </c>
    </row>
    <row r="9" spans="1:2" x14ac:dyDescent="0.35">
      <c r="A9" s="6" t="s">
        <v>42</v>
      </c>
      <c r="B9" s="3">
        <v>6</v>
      </c>
    </row>
    <row r="10" spans="1:2" x14ac:dyDescent="0.35">
      <c r="A10" s="6" t="s">
        <v>18</v>
      </c>
      <c r="B10" s="3">
        <v>6</v>
      </c>
    </row>
    <row r="11" spans="1:2" x14ac:dyDescent="0.35">
      <c r="A11" s="6" t="s">
        <v>25</v>
      </c>
      <c r="B11" s="3">
        <v>2</v>
      </c>
    </row>
    <row r="12" spans="1:2" x14ac:dyDescent="0.35">
      <c r="A12" s="6" t="s">
        <v>47</v>
      </c>
      <c r="B12" s="3">
        <v>124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A23A8-9503-4F0B-AED1-E5DF5BCC7DA1}">
  <dimension ref="A1:L21"/>
  <sheetViews>
    <sheetView tabSelected="1" topLeftCell="A4" workbookViewId="0">
      <selection activeCell="I33" sqref="I33"/>
    </sheetView>
  </sheetViews>
  <sheetFormatPr defaultRowHeight="14.5" x14ac:dyDescent="0.35"/>
  <cols>
    <col min="1" max="1" width="10" customWidth="1"/>
    <col min="2" max="2" width="14.7265625" customWidth="1"/>
    <col min="3" max="3" width="13.26953125" customWidth="1"/>
    <col min="4" max="4" width="18.54296875" customWidth="1"/>
    <col min="5" max="5" width="19.7265625" customWidth="1"/>
    <col min="6" max="6" width="14.81640625" customWidth="1"/>
    <col min="7" max="7" width="10.453125" customWidth="1"/>
    <col min="8" max="8" width="11.1796875" customWidth="1"/>
    <col min="9" max="9" width="12.54296875" customWidth="1"/>
    <col min="10" max="10" width="14.1796875" customWidth="1"/>
    <col min="12" max="12" width="19.81640625" customWidth="1"/>
    <col min="13" max="13" width="10.26953125" customWidth="1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>
        <v>18</v>
      </c>
      <c r="B2" s="1">
        <v>43555</v>
      </c>
      <c r="C2" s="3">
        <v>1</v>
      </c>
      <c r="D2" s="2" t="s">
        <v>12</v>
      </c>
      <c r="E2" s="2" t="s">
        <v>13</v>
      </c>
      <c r="F2" s="2" t="s">
        <v>14</v>
      </c>
      <c r="G2" s="2" t="s">
        <v>15</v>
      </c>
      <c r="H2" s="4">
        <v>40</v>
      </c>
      <c r="I2" s="4">
        <v>70</v>
      </c>
      <c r="J2" s="3">
        <v>11</v>
      </c>
      <c r="K2" s="4">
        <f>I2-H2</f>
        <v>30</v>
      </c>
      <c r="L2" s="4">
        <f>(I2*1.1)-H2</f>
        <v>37</v>
      </c>
    </row>
    <row r="3" spans="1:12" x14ac:dyDescent="0.35">
      <c r="A3" s="3">
        <v>8</v>
      </c>
      <c r="B3" s="1">
        <v>43785</v>
      </c>
      <c r="C3" s="3">
        <v>7</v>
      </c>
      <c r="D3" s="2" t="s">
        <v>16</v>
      </c>
      <c r="E3" s="2" t="s">
        <v>17</v>
      </c>
      <c r="F3" s="2" t="s">
        <v>18</v>
      </c>
      <c r="G3" s="2" t="s">
        <v>19</v>
      </c>
      <c r="H3" s="4">
        <v>30</v>
      </c>
      <c r="I3" s="4">
        <v>50</v>
      </c>
      <c r="J3" s="3">
        <v>4</v>
      </c>
      <c r="K3" s="4">
        <f t="shared" ref="K3:K20" si="0">I3-H3</f>
        <v>20</v>
      </c>
      <c r="L3" s="4">
        <f t="shared" ref="L3:L21" si="1">(I3*1.1)-H3</f>
        <v>25.000000000000007</v>
      </c>
    </row>
    <row r="4" spans="1:12" x14ac:dyDescent="0.35">
      <c r="A4" s="3">
        <v>6</v>
      </c>
      <c r="B4" s="1">
        <v>43201</v>
      </c>
      <c r="C4" s="3">
        <v>2</v>
      </c>
      <c r="D4" s="2" t="s">
        <v>20</v>
      </c>
      <c r="E4" s="2" t="s">
        <v>21</v>
      </c>
      <c r="F4" s="2" t="s">
        <v>22</v>
      </c>
      <c r="G4" s="2" t="s">
        <v>19</v>
      </c>
      <c r="H4" s="4">
        <v>30</v>
      </c>
      <c r="I4" s="4">
        <v>50</v>
      </c>
      <c r="J4" s="3">
        <v>7</v>
      </c>
      <c r="K4" s="4">
        <f t="shared" si="0"/>
        <v>20</v>
      </c>
      <c r="L4" s="4">
        <f t="shared" si="1"/>
        <v>25.000000000000007</v>
      </c>
    </row>
    <row r="5" spans="1:12" x14ac:dyDescent="0.35">
      <c r="A5" s="3">
        <v>16</v>
      </c>
      <c r="B5" s="1">
        <v>43717</v>
      </c>
      <c r="C5" s="3">
        <v>8</v>
      </c>
      <c r="D5" s="2" t="s">
        <v>23</v>
      </c>
      <c r="E5" s="2" t="s">
        <v>24</v>
      </c>
      <c r="F5" s="2" t="s">
        <v>25</v>
      </c>
      <c r="G5" s="2" t="s">
        <v>19</v>
      </c>
      <c r="H5" s="4">
        <v>30</v>
      </c>
      <c r="I5" s="4">
        <v>50</v>
      </c>
      <c r="J5" s="3">
        <v>2</v>
      </c>
      <c r="K5" s="4">
        <f t="shared" si="0"/>
        <v>20</v>
      </c>
      <c r="L5" s="4">
        <f t="shared" si="1"/>
        <v>25.000000000000007</v>
      </c>
    </row>
    <row r="6" spans="1:12" x14ac:dyDescent="0.35">
      <c r="A6" s="3">
        <v>14</v>
      </c>
      <c r="B6" s="1">
        <v>43283</v>
      </c>
      <c r="C6" s="3">
        <v>6</v>
      </c>
      <c r="D6" s="2" t="s">
        <v>26</v>
      </c>
      <c r="E6" s="2" t="s">
        <v>13</v>
      </c>
      <c r="F6" s="2" t="s">
        <v>27</v>
      </c>
      <c r="G6" s="2" t="s">
        <v>28</v>
      </c>
      <c r="H6" s="4">
        <v>100</v>
      </c>
      <c r="I6" s="4">
        <v>150</v>
      </c>
      <c r="J6" s="3">
        <v>2</v>
      </c>
      <c r="K6" s="4">
        <f t="shared" si="0"/>
        <v>50</v>
      </c>
      <c r="L6" s="4">
        <f t="shared" si="1"/>
        <v>65</v>
      </c>
    </row>
    <row r="7" spans="1:12" x14ac:dyDescent="0.35">
      <c r="A7" s="3">
        <v>3</v>
      </c>
      <c r="B7" s="1">
        <v>43593</v>
      </c>
      <c r="C7" s="3">
        <v>4</v>
      </c>
      <c r="D7" s="2" t="s">
        <v>29</v>
      </c>
      <c r="E7" s="2" t="s">
        <v>30</v>
      </c>
      <c r="F7" s="2" t="s">
        <v>31</v>
      </c>
      <c r="G7" s="2" t="s">
        <v>28</v>
      </c>
      <c r="H7" s="4">
        <v>100</v>
      </c>
      <c r="I7" s="4">
        <v>150</v>
      </c>
      <c r="J7" s="3">
        <v>9</v>
      </c>
      <c r="K7" s="4">
        <f t="shared" si="0"/>
        <v>50</v>
      </c>
      <c r="L7" s="4">
        <f t="shared" si="1"/>
        <v>65</v>
      </c>
    </row>
    <row r="8" spans="1:12" x14ac:dyDescent="0.35">
      <c r="A8" s="3">
        <v>10</v>
      </c>
      <c r="B8" s="1">
        <v>43749</v>
      </c>
      <c r="C8" s="3">
        <v>10</v>
      </c>
      <c r="D8" s="2" t="s">
        <v>32</v>
      </c>
      <c r="E8" s="2" t="s">
        <v>33</v>
      </c>
      <c r="F8" s="2" t="s">
        <v>31</v>
      </c>
      <c r="G8" s="2" t="s">
        <v>28</v>
      </c>
      <c r="H8" s="4">
        <v>100</v>
      </c>
      <c r="I8" s="4">
        <v>150</v>
      </c>
      <c r="J8" s="3">
        <v>9</v>
      </c>
      <c r="K8" s="4">
        <f t="shared" si="0"/>
        <v>50</v>
      </c>
      <c r="L8" s="4">
        <f t="shared" si="1"/>
        <v>65</v>
      </c>
    </row>
    <row r="9" spans="1:12" x14ac:dyDescent="0.35">
      <c r="A9" s="3">
        <v>4</v>
      </c>
      <c r="B9" s="1">
        <v>43779</v>
      </c>
      <c r="C9" s="3">
        <v>9</v>
      </c>
      <c r="D9" s="2" t="s">
        <v>34</v>
      </c>
      <c r="E9" s="2" t="s">
        <v>13</v>
      </c>
      <c r="F9" s="2" t="s">
        <v>31</v>
      </c>
      <c r="G9" s="2" t="s">
        <v>35</v>
      </c>
      <c r="H9" s="4">
        <v>20</v>
      </c>
      <c r="I9" s="4">
        <v>30</v>
      </c>
      <c r="J9" s="3">
        <v>1</v>
      </c>
      <c r="K9" s="4">
        <f t="shared" si="0"/>
        <v>10</v>
      </c>
      <c r="L9" s="4">
        <f t="shared" si="1"/>
        <v>13</v>
      </c>
    </row>
    <row r="10" spans="1:12" x14ac:dyDescent="0.35">
      <c r="A10" s="3">
        <v>9</v>
      </c>
      <c r="B10" s="1">
        <v>43755</v>
      </c>
      <c r="C10" s="3">
        <v>2</v>
      </c>
      <c r="D10" s="2" t="s">
        <v>20</v>
      </c>
      <c r="E10" s="2" t="s">
        <v>36</v>
      </c>
      <c r="F10" s="2" t="s">
        <v>18</v>
      </c>
      <c r="G10" s="2" t="s">
        <v>35</v>
      </c>
      <c r="H10" s="4">
        <v>20</v>
      </c>
      <c r="I10" s="4">
        <v>30</v>
      </c>
      <c r="J10" s="3">
        <v>2</v>
      </c>
      <c r="K10" s="4">
        <f t="shared" si="0"/>
        <v>10</v>
      </c>
      <c r="L10" s="4">
        <f t="shared" si="1"/>
        <v>13</v>
      </c>
    </row>
    <row r="11" spans="1:12" x14ac:dyDescent="0.35">
      <c r="A11" s="3">
        <v>5</v>
      </c>
      <c r="B11" s="1">
        <v>43563</v>
      </c>
      <c r="C11" s="3">
        <v>8</v>
      </c>
      <c r="D11" s="2" t="s">
        <v>23</v>
      </c>
      <c r="E11" s="2" t="s">
        <v>17</v>
      </c>
      <c r="F11" s="2" t="s">
        <v>27</v>
      </c>
      <c r="G11" s="2" t="s">
        <v>37</v>
      </c>
      <c r="H11" s="4">
        <v>60</v>
      </c>
      <c r="I11" s="4">
        <v>90</v>
      </c>
      <c r="J11" s="3">
        <v>3</v>
      </c>
      <c r="K11" s="4">
        <f t="shared" si="0"/>
        <v>30</v>
      </c>
      <c r="L11" s="4">
        <f t="shared" si="1"/>
        <v>39.000000000000014</v>
      </c>
    </row>
    <row r="12" spans="1:12" x14ac:dyDescent="0.35">
      <c r="A12" s="3">
        <v>13</v>
      </c>
      <c r="B12" s="1">
        <v>43641</v>
      </c>
      <c r="C12" s="3">
        <v>2</v>
      </c>
      <c r="D12" s="2" t="s">
        <v>20</v>
      </c>
      <c r="E12" s="2" t="s">
        <v>17</v>
      </c>
      <c r="F12" s="2" t="s">
        <v>14</v>
      </c>
      <c r="G12" s="2" t="s">
        <v>35</v>
      </c>
      <c r="H12" s="4">
        <v>20</v>
      </c>
      <c r="I12" s="4">
        <v>30</v>
      </c>
      <c r="J12" s="3">
        <v>2</v>
      </c>
      <c r="K12" s="4">
        <f t="shared" si="0"/>
        <v>10</v>
      </c>
      <c r="L12" s="4">
        <f t="shared" si="1"/>
        <v>13</v>
      </c>
    </row>
    <row r="13" spans="1:12" x14ac:dyDescent="0.35">
      <c r="A13" s="3">
        <v>19</v>
      </c>
      <c r="B13" s="1">
        <v>43292</v>
      </c>
      <c r="C13" s="3">
        <v>7</v>
      </c>
      <c r="D13" s="2" t="s">
        <v>16</v>
      </c>
      <c r="E13" s="2" t="s">
        <v>38</v>
      </c>
      <c r="F13" s="2" t="s">
        <v>39</v>
      </c>
      <c r="G13" s="2" t="s">
        <v>35</v>
      </c>
      <c r="H13" s="4">
        <v>20</v>
      </c>
      <c r="I13" s="4">
        <v>30</v>
      </c>
      <c r="J13" s="3">
        <v>13</v>
      </c>
      <c r="K13" s="4">
        <f t="shared" si="0"/>
        <v>10</v>
      </c>
      <c r="L13" s="4">
        <f t="shared" si="1"/>
        <v>13</v>
      </c>
    </row>
    <row r="14" spans="1:12" x14ac:dyDescent="0.35">
      <c r="A14" s="3">
        <v>20</v>
      </c>
      <c r="B14" s="1">
        <v>43709</v>
      </c>
      <c r="C14" s="3">
        <v>10</v>
      </c>
      <c r="D14" s="2" t="s">
        <v>32</v>
      </c>
      <c r="E14" s="2" t="s">
        <v>40</v>
      </c>
      <c r="F14" s="2" t="s">
        <v>27</v>
      </c>
      <c r="G14" s="2" t="s">
        <v>15</v>
      </c>
      <c r="H14" s="4">
        <v>40</v>
      </c>
      <c r="I14" s="4">
        <v>70</v>
      </c>
      <c r="J14" s="3">
        <v>4</v>
      </c>
      <c r="K14" s="4">
        <f t="shared" si="0"/>
        <v>30</v>
      </c>
      <c r="L14" s="4">
        <f t="shared" si="1"/>
        <v>37</v>
      </c>
    </row>
    <row r="15" spans="1:12" x14ac:dyDescent="0.35">
      <c r="A15" s="3">
        <v>2</v>
      </c>
      <c r="B15" s="1">
        <v>43336</v>
      </c>
      <c r="C15" s="3">
        <v>1</v>
      </c>
      <c r="D15" s="2" t="s">
        <v>12</v>
      </c>
      <c r="E15" s="2" t="s">
        <v>41</v>
      </c>
      <c r="F15" s="2" t="s">
        <v>22</v>
      </c>
      <c r="G15" s="2" t="s">
        <v>15</v>
      </c>
      <c r="H15" s="4">
        <v>40</v>
      </c>
      <c r="I15" s="4">
        <v>70</v>
      </c>
      <c r="J15" s="3">
        <v>6</v>
      </c>
      <c r="K15" s="4">
        <f t="shared" si="0"/>
        <v>30</v>
      </c>
      <c r="L15" s="4">
        <f t="shared" si="1"/>
        <v>37</v>
      </c>
    </row>
    <row r="16" spans="1:12" x14ac:dyDescent="0.35">
      <c r="A16" s="3">
        <v>15</v>
      </c>
      <c r="B16" s="1">
        <v>43812</v>
      </c>
      <c r="C16" s="3">
        <v>8</v>
      </c>
      <c r="D16" s="2" t="s">
        <v>23</v>
      </c>
      <c r="E16" s="2" t="s">
        <v>41</v>
      </c>
      <c r="F16" s="2" t="s">
        <v>39</v>
      </c>
      <c r="G16" s="2" t="s">
        <v>37</v>
      </c>
      <c r="H16" s="4">
        <v>60</v>
      </c>
      <c r="I16" s="4">
        <v>90</v>
      </c>
      <c r="J16" s="3">
        <v>11</v>
      </c>
      <c r="K16" s="4">
        <f t="shared" si="0"/>
        <v>30</v>
      </c>
      <c r="L16" s="4">
        <f t="shared" si="1"/>
        <v>39.000000000000014</v>
      </c>
    </row>
    <row r="17" spans="1:12" x14ac:dyDescent="0.35">
      <c r="A17" s="3">
        <v>11</v>
      </c>
      <c r="B17" s="1">
        <v>43795</v>
      </c>
      <c r="C17" s="3">
        <v>6</v>
      </c>
      <c r="D17" s="2" t="s">
        <v>26</v>
      </c>
      <c r="E17" s="2" t="s">
        <v>40</v>
      </c>
      <c r="F17" s="2" t="s">
        <v>42</v>
      </c>
      <c r="G17" s="2" t="s">
        <v>15</v>
      </c>
      <c r="H17" s="4">
        <v>40</v>
      </c>
      <c r="I17" s="4">
        <v>70</v>
      </c>
      <c r="J17" s="3">
        <v>6</v>
      </c>
      <c r="K17" s="4">
        <f t="shared" si="0"/>
        <v>30</v>
      </c>
      <c r="L17" s="4">
        <f t="shared" si="1"/>
        <v>37</v>
      </c>
    </row>
    <row r="18" spans="1:12" x14ac:dyDescent="0.35">
      <c r="A18" s="3">
        <v>1</v>
      </c>
      <c r="B18" s="1">
        <v>43481</v>
      </c>
      <c r="C18" s="3">
        <v>9</v>
      </c>
      <c r="D18" s="2" t="s">
        <v>34</v>
      </c>
      <c r="E18" s="2" t="s">
        <v>36</v>
      </c>
      <c r="F18" s="2" t="s">
        <v>39</v>
      </c>
      <c r="G18" s="2" t="s">
        <v>37</v>
      </c>
      <c r="H18" s="4">
        <v>60</v>
      </c>
      <c r="I18" s="4">
        <v>90</v>
      </c>
      <c r="J18" s="3">
        <v>8</v>
      </c>
      <c r="K18" s="4">
        <f t="shared" si="0"/>
        <v>30</v>
      </c>
      <c r="L18" s="4">
        <f t="shared" si="1"/>
        <v>39.000000000000014</v>
      </c>
    </row>
    <row r="19" spans="1:12" x14ac:dyDescent="0.35">
      <c r="A19" s="3">
        <v>17</v>
      </c>
      <c r="B19" s="1">
        <v>43129</v>
      </c>
      <c r="C19" s="3">
        <v>10</v>
      </c>
      <c r="D19" s="2" t="s">
        <v>32</v>
      </c>
      <c r="E19" s="2" t="s">
        <v>38</v>
      </c>
      <c r="F19" s="2" t="s">
        <v>22</v>
      </c>
      <c r="G19" s="2" t="s">
        <v>35</v>
      </c>
      <c r="H19" s="4">
        <v>20</v>
      </c>
      <c r="I19" s="4">
        <v>30</v>
      </c>
      <c r="J19" s="3">
        <v>8</v>
      </c>
      <c r="K19" s="4">
        <f t="shared" si="0"/>
        <v>10</v>
      </c>
      <c r="L19" s="4">
        <f t="shared" si="1"/>
        <v>13</v>
      </c>
    </row>
    <row r="20" spans="1:12" x14ac:dyDescent="0.35">
      <c r="A20" s="3">
        <v>12</v>
      </c>
      <c r="B20" s="1">
        <v>43793</v>
      </c>
      <c r="C20" s="3">
        <v>4</v>
      </c>
      <c r="D20" s="2" t="s">
        <v>29</v>
      </c>
      <c r="E20" s="2" t="s">
        <v>17</v>
      </c>
      <c r="F20" s="2" t="s">
        <v>27</v>
      </c>
      <c r="G20" s="2" t="s">
        <v>19</v>
      </c>
      <c r="H20" s="4">
        <v>30</v>
      </c>
      <c r="I20" s="4">
        <v>50</v>
      </c>
      <c r="J20" s="3">
        <v>6</v>
      </c>
      <c r="K20" s="4">
        <f t="shared" si="0"/>
        <v>20</v>
      </c>
      <c r="L20" s="4">
        <f t="shared" si="1"/>
        <v>25.000000000000007</v>
      </c>
    </row>
    <row r="21" spans="1:12" x14ac:dyDescent="0.35">
      <c r="A21" s="3">
        <v>7</v>
      </c>
      <c r="B21" s="1">
        <v>43685</v>
      </c>
      <c r="C21" s="3">
        <v>9</v>
      </c>
      <c r="D21" s="2" t="s">
        <v>34</v>
      </c>
      <c r="E21" s="2" t="s">
        <v>17</v>
      </c>
      <c r="F21" s="2" t="s">
        <v>14</v>
      </c>
      <c r="G21" s="2" t="s">
        <v>19</v>
      </c>
      <c r="H21" s="4">
        <v>30</v>
      </c>
      <c r="I21" s="4">
        <v>50</v>
      </c>
      <c r="J21" s="3">
        <v>10</v>
      </c>
      <c r="K21" s="4">
        <f>I21-H21</f>
        <v>20</v>
      </c>
      <c r="L21" s="4">
        <f t="shared" si="1"/>
        <v>25.000000000000007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Products</vt:lpstr>
      <vt:lpstr>SalesPerson</vt:lpstr>
      <vt:lpstr>District</vt:lpstr>
      <vt:lpstr>Pivot Table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stefan chardakov</dc:creator>
  <cp:keywords/>
  <dc:description/>
  <cp:lastModifiedBy>stefan chardakov</cp:lastModifiedBy>
  <cp:revision/>
  <dcterms:created xsi:type="dcterms:W3CDTF">2015-06-05T18:17:20Z</dcterms:created>
  <dcterms:modified xsi:type="dcterms:W3CDTF">2026-07-03T22:00:01Z</dcterms:modified>
  <cp:category/>
  <cp:contentStatus/>
</cp:coreProperties>
</file>